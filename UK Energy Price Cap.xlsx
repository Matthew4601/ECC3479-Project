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atthewmackinnon/Downloads/"/>
    </mc:Choice>
  </mc:AlternateContent>
  <xr:revisionPtr revIDLastSave="0" documentId="13_ncr:20001_{D6B0BC2F-1A8A-624D-ACE7-161A306E1EBF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Quarterly Price Cap Data" sheetId="1" r:id="rId1"/>
    <sheet name="Key Benchmarks" sheetId="2" r:id="rId2"/>
    <sheet name="Sources &amp; Note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<sst xmlns="http://schemas.openxmlformats.org/spreadsheetml/2006/main" count="193" uniqueCount="169">
  <si>
    <t>Period</t>
  </si>
  <si>
    <t>Start Date</t>
  </si>
  <si>
    <t>End Date</t>
  </si>
  <si>
    <t>Review Frequency</t>
  </si>
  <si>
    <t>Ofgem Cap £/yr (Direct Debit, typical use)</t>
  </si>
  <si>
    <t>EPG Rate £/yr</t>
  </si>
  <si>
    <t>Effective Consumer Rate £/yr</t>
  </si>
  <si>
    <t>Change vs Prior Period £</t>
  </si>
  <si>
    <t>Change vs Prior Period %</t>
  </si>
  <si>
    <t>Notes</t>
  </si>
  <si>
    <t>Winter 2018/19</t>
  </si>
  <si>
    <t>2019-01-01</t>
  </si>
  <si>
    <t>2019-03-31</t>
  </si>
  <si>
    <t>6-monthly</t>
  </si>
  <si>
    <t>Cap launch. SVT average at Jan 2019; adjusted Feb 2019 to £1,254</t>
  </si>
  <si>
    <t>Summer 2019</t>
  </si>
  <si>
    <t>2019-04-01</t>
  </si>
  <si>
    <t>2019-09-30</t>
  </si>
  <si>
    <t>Winter 2019/20</t>
  </si>
  <si>
    <t>2019-10-01</t>
  </si>
  <si>
    <t>2020-03-31</t>
  </si>
  <si>
    <t>Summer 2020</t>
  </si>
  <si>
    <t>2020-04-01</t>
  </si>
  <si>
    <t>2020-09-30</t>
  </si>
  <si>
    <t>Covid lockdown depressed wholesale prices; Ofgem lowered TDCV electricity 3,100→2,900 kWh</t>
  </si>
  <si>
    <t>Winter 2020/21</t>
  </si>
  <si>
    <t>2020-10-01</t>
  </si>
  <si>
    <t>2021-03-31</t>
  </si>
  <si>
    <t>Lowest-ever cap level</t>
  </si>
  <si>
    <t>Summer 2021</t>
  </si>
  <si>
    <t>2021-04-01</t>
  </si>
  <si>
    <t>2021-09-30</t>
  </si>
  <si>
    <t>Wholesale prices begin rising post-lockdown</t>
  </si>
  <si>
    <t>Winter 2021/22</t>
  </si>
  <si>
    <t>2021-10-01</t>
  </si>
  <si>
    <t>2022-03-31</t>
  </si>
  <si>
    <t>Energy crisis begins; multiple supplier failures</t>
  </si>
  <si>
    <t>Q2 2022 (Apr–Jun)</t>
  </si>
  <si>
    <t>2022-04-01</t>
  </si>
  <si>
    <t>2022-06-30</t>
  </si>
  <si>
    <t>54% rise. Russia-Ukraine war escalates gas prices</t>
  </si>
  <si>
    <t>Q3 2022 (Jul–Sep)</t>
  </si>
  <si>
    <t>2022-07-01</t>
  </si>
  <si>
    <t>2022-09-30</t>
  </si>
  <si>
    <t>Same period as Q2 2022 (6-monthly review)</t>
  </si>
  <si>
    <t>Q4 2022 (Oct–Dec)</t>
  </si>
  <si>
    <t>2022-10-01</t>
  </si>
  <si>
    <t>2022-12-31</t>
  </si>
  <si>
    <t>Quarterly</t>
  </si>
  <si>
    <t>Cap moves to quarterly. EPG introduced at £2,500. +80% rise</t>
  </si>
  <si>
    <t>Q1 2023 (Jan–Mar)</t>
  </si>
  <si>
    <t>2023-01-01</t>
  </si>
  <si>
    <t>2023-03-31</t>
  </si>
  <si>
    <t>Peak Ofgem cap. Without EPG households would have paid £4,279</t>
  </si>
  <si>
    <t>Q2 2023 (Apr–Jun)</t>
  </si>
  <si>
    <t>2023-04-01</t>
  </si>
  <si>
    <t>2023-06-30</t>
  </si>
  <si>
    <t>EPG threshold raised to £3,000 (Apr 2023)</t>
  </si>
  <si>
    <t>Q3 2023 (Jul–Sep)</t>
  </si>
  <si>
    <t>2023-07-01</t>
  </si>
  <si>
    <t>2023-09-30</t>
  </si>
  <si>
    <t>Cap drops below EPG → cap becomes effective rate again. First fall in ~3 years</t>
  </si>
  <si>
    <t>Q4 2023 (Oct–Dec)</t>
  </si>
  <si>
    <t>2023-10-01</t>
  </si>
  <si>
    <t>2023-12-31</t>
  </si>
  <si>
    <t>-7% fall</t>
  </si>
  <si>
    <t>Q1 2024 (Jan–Mar)</t>
  </si>
  <si>
    <t>2024-01-01</t>
  </si>
  <si>
    <t>2024-03-31</t>
  </si>
  <si>
    <t>+5% rise; EPG ends Mar 2024</t>
  </si>
  <si>
    <t>Q2 2024 (Apr–Jun)</t>
  </si>
  <si>
    <t>2024-04-01</t>
  </si>
  <si>
    <t>2024-06-30</t>
  </si>
  <si>
    <t>-12% fall; TDCV revised: electricity 2,900→2,700 kWh, gas 12,000→11,500 kWh</t>
  </si>
  <si>
    <t>Q3 2024 (Jul–Sep)</t>
  </si>
  <si>
    <t>2024-07-01</t>
  </si>
  <si>
    <t>2024-09-30</t>
  </si>
  <si>
    <t>Q4 2024 (Oct–Dec)</t>
  </si>
  <si>
    <t>2024-10-01</t>
  </si>
  <si>
    <t>2024-12-31</t>
  </si>
  <si>
    <t>+10% rise</t>
  </si>
  <si>
    <t>Q1 2025 (Jan–Mar)</t>
  </si>
  <si>
    <t>2025-01-01</t>
  </si>
  <si>
    <t>2025-03-31</t>
  </si>
  <si>
    <t>+1% rise</t>
  </si>
  <si>
    <t>Q2 2025 (Apr–Jun)</t>
  </si>
  <si>
    <t>2025-04-01</t>
  </si>
  <si>
    <t>2025-06-30</t>
  </si>
  <si>
    <t>+6% rise; cold European winter depleted gas storage</t>
  </si>
  <si>
    <t>Q3 2025 (Jul–Sep)</t>
  </si>
  <si>
    <t>2025-07-01</t>
  </si>
  <si>
    <t>2025-09-30</t>
  </si>
  <si>
    <t>Q4 2025 (Oct–Dec)</t>
  </si>
  <si>
    <t>2025-10-01</t>
  </si>
  <si>
    <t>2025-12-31</t>
  </si>
  <si>
    <t>+2% rise</t>
  </si>
  <si>
    <t>Q1 2026 (Jan–Mar)</t>
  </si>
  <si>
    <t>2026-01-01</t>
  </si>
  <si>
    <t>2026-03-31</t>
  </si>
  <si>
    <t>+0.2% rise</t>
  </si>
  <si>
    <t>Q2 2026 (Apr–Jun)</t>
  </si>
  <si>
    <t>2026-04-01</t>
  </si>
  <si>
    <t>2026-06-30</t>
  </si>
  <si>
    <t>-6.6% fall; green levies (ECO, RO) removed from bills to general taxation</t>
  </si>
  <si>
    <t>Benchmark</t>
  </si>
  <si>
    <t>Value (£/yr)</t>
  </si>
  <si>
    <t>Period / Notes</t>
  </si>
  <si>
    <t>Launch cap</t>
  </si>
  <si>
    <t>Winter 2018/19 — Jan 2019</t>
  </si>
  <si>
    <t>Lowest-ever cap</t>
  </si>
  <si>
    <t>Winter 2020/21 — Oct 2020</t>
  </si>
  <si>
    <t>Pre-crisis baseline</t>
  </si>
  <si>
    <t>Winter 2021/22 — last period before crisis</t>
  </si>
  <si>
    <t>First 54% shock</t>
  </si>
  <si>
    <t>Q2 2022 — Apr 2022</t>
  </si>
  <si>
    <t>EPG consumer ceiling</t>
  </si>
  <si>
    <t>Oct 2022 – Mar 2023 (gov't subsidised)</t>
  </si>
  <si>
    <t>EPG raised ceiling</t>
  </si>
  <si>
    <t>Apr 2023 – Jun 2023</t>
  </si>
  <si>
    <t>Peak Ofgem cap (nominal)</t>
  </si>
  <si>
    <t>Q1 2023 — Jan–Mar 2023 (not paid due to EPG)</t>
  </si>
  <si>
    <t>Current cap (Q2 2026)</t>
  </si>
  <si>
    <t>Apr–Jun 2026</t>
  </si>
  <si>
    <t>% above pre-crisis</t>
  </si>
  <si>
    <t>Item</t>
  </si>
  <si>
    <t>Detail</t>
  </si>
  <si>
    <t>URL / Reference</t>
  </si>
  <si>
    <t>PRIMARY SOURCE</t>
  </si>
  <si>
    <t>Ofgem — Energy price cap (default tariff) levels</t>
  </si>
  <si>
    <t>All Annex 9 XLSX files (quarterly)</t>
  </si>
  <si>
    <t>https://www.ofgem.gov.uk/energy-regulation/domestic-and-non-domestic/energy-pricing-rules/energy-price-cap/energy-price-cap-default-tariff-levels</t>
  </si>
  <si>
    <t>SECONDARY SOURCES</t>
  </si>
  <si>
    <t>House of Commons Library — CBP-9714</t>
  </si>
  <si>
    <t>Gas &amp; electricity prices during the energy crisis and beyond</t>
  </si>
  <si>
    <t>https://commonslibrary.parliament.uk/research-briefings/cbp-9714/</t>
  </si>
  <si>
    <t>House of Commons Library — CBP-9491</t>
  </si>
  <si>
    <t>Domestic energy prices</t>
  </si>
  <si>
    <t>https://commonslibrary.parliament.uk/research-briefings/cbp-9491/</t>
  </si>
  <si>
    <t>Energy Helpline</t>
  </si>
  <si>
    <t>Full quarterly cap history table (sourced from Ofgem)</t>
  </si>
  <si>
    <t>https://www.energyhelpline.com/the-history-of-ofgems-energy-price-cap</t>
  </si>
  <si>
    <t>MoneySavingExpert</t>
  </si>
  <si>
    <t>Price cap history and payment method breakdown</t>
  </si>
  <si>
    <t>https://www.moneysavingexpert.com/utilities/what-is-the-energy-price-cap/</t>
  </si>
  <si>
    <t>METHODOLOGY NOTES</t>
  </si>
  <si>
    <t>Typical use (post Oct 2023):</t>
  </si>
  <si>
    <t>2,700 kWh electricity + 11,500 kWh gas/yr</t>
  </si>
  <si>
    <t>Ofgem TDCV revision Oct 2023</t>
  </si>
  <si>
    <t>Typical use (pre Oct 2023):</t>
  </si>
  <si>
    <t>2,900 kWh electricity + 12,000 kWh gas/yr</t>
  </si>
  <si>
    <t>Original Ofgem TDCV</t>
  </si>
  <si>
    <t>Payment method:</t>
  </si>
  <si>
    <t>Direct Debit (cheapest method)</t>
  </si>
  <si>
    <t>Cash/cheque ~£130/yr higher; PPM slightly different</t>
  </si>
  <si>
    <t>Review frequency:</t>
  </si>
  <si>
    <t>6-monthly Jan 2019 – Sep 2022; quarterly from Oct 2022</t>
  </si>
  <si>
    <t>EPG:</t>
  </si>
  <si>
    <t>Energy Price Guarantee — gov't subsidy Oct 2022 – Mar 2024</t>
  </si>
  <si>
    <t>Consumer paid lower of cap or EPG</t>
  </si>
  <si>
    <t>Pre-levelised vs levelised:</t>
  </si>
  <si>
    <t>Figures here are levelised (Annex 9) — national averages</t>
  </si>
  <si>
    <t>Regional variation exists</t>
  </si>
  <si>
    <t>COLOUR KEY (Quarterly Data sheet)</t>
  </si>
  <si>
    <t>Red highlight:</t>
  </si>
  <si>
    <t>Ofgem cap at or above £4,000 (crisis peak; EPG in force)</t>
  </si>
  <si>
    <t>Yellow highlight:</t>
  </si>
  <si>
    <t>EPG active — consumer paid subsidised rate, not full cap</t>
  </si>
  <si>
    <t>Blue alternating:</t>
  </si>
  <si>
    <t>Normal cap periods (post-crisis descent)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</si>
</sst>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£#,##0"/>
    <numFmt numFmtId="166" formatCode="\£#,##0;\(\£#,##0\);\-"/>
    <numFmt numFmtId="167" formatCode="0.0%;\(0.0%\);\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7D7"/>
        <bgColor rgb="FFFFD7D7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167" fontId="2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165" fontId="2" fillId="4" borderId="1" xfId="0" applyNumberFormat="1" applyFont="1" applyFill="1" applyBorder="1"/>
    <xf numFmtId="166" fontId="2" fillId="4" borderId="1" xfId="0" applyNumberFormat="1" applyFont="1" applyFill="1" applyBorder="1"/>
    <xf numFmtId="167" fontId="2" fillId="4" borderId="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165" fontId="2" fillId="5" borderId="1" xfId="0" applyNumberFormat="1" applyFont="1" applyFill="1" applyBorder="1"/>
    <xf numFmtId="166" fontId="2" fillId="5" borderId="1" xfId="0" applyNumberFormat="1" applyFont="1" applyFill="1" applyBorder="1"/>
    <xf numFmtId="167" fontId="2" fillId="5" borderId="1" xfId="0" applyNumberFormat="1" applyFon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165" fontId="2" fillId="6" borderId="1" xfId="0" applyNumberFormat="1" applyFont="1" applyFill="1" applyBorder="1"/>
    <xf numFmtId="166" fontId="2" fillId="6" borderId="1" xfId="0" applyNumberFormat="1" applyFont="1" applyFill="1" applyBorder="1"/>
    <xf numFmtId="167" fontId="2" fillId="6" borderId="1" xfId="0" applyNumberFormat="1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pane ySplit="1" topLeftCell="A2" activePane="bottomLeft" state="frozen"/>
      <selection pane="bottomLeft" activeCell="A2" activeCellId="1" sqref="E2:E25 A2:A25"/>
    </sheetView>
  </sheetViews>
  <sheetFormatPr baseColWidth="10" defaultColWidth="8.83203125" defaultRowHeight="15" x14ac:dyDescent="0.2"/>
  <cols>
    <col min="1" max="1" width="22" customWidth="1"/>
    <col min="2" max="3" width="13" customWidth="1"/>
    <col min="4" max="4" width="16" customWidth="1"/>
    <col min="5" max="5" width="24" customWidth="1"/>
    <col min="6" max="6" width="16" customWidth="1"/>
    <col min="7" max="7" width="24" customWidth="1"/>
    <col min="8" max="9" width="18" customWidth="1"/>
    <col min="10" max="10" width="55" customWidth="1"/>
  </cols>
  <sheetData>
    <row r="1" spans="1:10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3" t="s">
        <v>11</v>
      </c>
      <c r="C2" s="3" t="s">
        <v>12</v>
      </c>
      <c r="D2" s="2" t="s">
        <v>13</v>
      </c>
      <c r="E2" s="4">
        <v>1053</v>
      </c>
      <c r="F2" s="4"/>
      <c r="G2" s="4">
        <v>1053</v>
      </c>
      <c r="H2" s="5"/>
      <c r="I2" s="6"/>
      <c r="J2" s="2" t="s">
        <v>14</v>
      </c>
    </row>
    <row r="3" spans="1:10" x14ac:dyDescent="0.2">
      <c r="A3" s="7" t="s">
        <v>15</v>
      </c>
      <c r="B3" s="8" t="s">
        <v>16</v>
      </c>
      <c r="C3" s="8" t="s">
        <v>17</v>
      </c>
      <c r="D3" s="7" t="s">
        <v>13</v>
      </c>
      <c r="E3" s="9">
        <v>1254</v>
      </c>
      <c r="F3" s="9"/>
      <c r="G3" s="9">
        <v>1254</v>
      </c>
      <c r="H3" s="10">
        <f t="shared" ref="H3:H25" si="0">E3-E2</f>
        <v>201</v>
      </c>
      <c r="I3" s="11">
        <f t="shared" ref="I3:I25" si="1">(E3-E2)/E2</f>
        <v>0.19088319088319089</v>
      </c>
      <c r="J3" s="7"/>
    </row>
    <row r="4" spans="1:10" x14ac:dyDescent="0.2">
      <c r="A4" s="2" t="s">
        <v>18</v>
      </c>
      <c r="B4" s="3" t="s">
        <v>19</v>
      </c>
      <c r="C4" s="3" t="s">
        <v>20</v>
      </c>
      <c r="D4" s="2" t="s">
        <v>13</v>
      </c>
      <c r="E4" s="4">
        <v>1179</v>
      </c>
      <c r="F4" s="4"/>
      <c r="G4" s="4">
        <v>1179</v>
      </c>
      <c r="H4" s="5">
        <f t="shared" si="0"/>
        <v>-75</v>
      </c>
      <c r="I4" s="6">
        <f t="shared" si="1"/>
        <v>-5.9808612440191387E-2</v>
      </c>
      <c r="J4" s="2"/>
    </row>
    <row r="5" spans="1:10" x14ac:dyDescent="0.2">
      <c r="A5" s="7" t="s">
        <v>21</v>
      </c>
      <c r="B5" s="8" t="s">
        <v>22</v>
      </c>
      <c r="C5" s="8" t="s">
        <v>23</v>
      </c>
      <c r="D5" s="7" t="s">
        <v>13</v>
      </c>
      <c r="E5" s="9">
        <v>1162</v>
      </c>
      <c r="F5" s="9"/>
      <c r="G5" s="9">
        <v>1162</v>
      </c>
      <c r="H5" s="10">
        <f t="shared" si="0"/>
        <v>-17</v>
      </c>
      <c r="I5" s="11">
        <f t="shared" si="1"/>
        <v>-1.441899915182358E-2</v>
      </c>
      <c r="J5" s="7" t="s">
        <v>24</v>
      </c>
    </row>
    <row r="6" spans="1:10" x14ac:dyDescent="0.2">
      <c r="A6" s="2" t="s">
        <v>25</v>
      </c>
      <c r="B6" s="3" t="s">
        <v>26</v>
      </c>
      <c r="C6" s="3" t="s">
        <v>27</v>
      </c>
      <c r="D6" s="2" t="s">
        <v>13</v>
      </c>
      <c r="E6" s="4">
        <v>1042</v>
      </c>
      <c r="F6" s="4"/>
      <c r="G6" s="4">
        <v>1042</v>
      </c>
      <c r="H6" s="5">
        <f t="shared" si="0"/>
        <v>-120</v>
      </c>
      <c r="I6" s="6">
        <f t="shared" si="1"/>
        <v>-0.10327022375215146</v>
      </c>
      <c r="J6" s="2" t="s">
        <v>28</v>
      </c>
    </row>
    <row r="7" spans="1:10" x14ac:dyDescent="0.2">
      <c r="A7" s="7" t="s">
        <v>29</v>
      </c>
      <c r="B7" s="8" t="s">
        <v>30</v>
      </c>
      <c r="C7" s="8" t="s">
        <v>31</v>
      </c>
      <c r="D7" s="7" t="s">
        <v>13</v>
      </c>
      <c r="E7" s="9">
        <v>1138</v>
      </c>
      <c r="F7" s="9"/>
      <c r="G7" s="9">
        <v>1138</v>
      </c>
      <c r="H7" s="10">
        <f t="shared" si="0"/>
        <v>96</v>
      </c>
      <c r="I7" s="11">
        <f t="shared" si="1"/>
        <v>9.2130518234165071E-2</v>
      </c>
      <c r="J7" s="7" t="s">
        <v>32</v>
      </c>
    </row>
    <row r="8" spans="1:10" x14ac:dyDescent="0.2">
      <c r="A8" s="2" t="s">
        <v>33</v>
      </c>
      <c r="B8" s="3" t="s">
        <v>34</v>
      </c>
      <c r="C8" s="3" t="s">
        <v>35</v>
      </c>
      <c r="D8" s="2" t="s">
        <v>13</v>
      </c>
      <c r="E8" s="4">
        <v>1277</v>
      </c>
      <c r="F8" s="4"/>
      <c r="G8" s="4">
        <v>1277</v>
      </c>
      <c r="H8" s="5">
        <f t="shared" si="0"/>
        <v>139</v>
      </c>
      <c r="I8" s="6">
        <f t="shared" si="1"/>
        <v>0.12214411247803164</v>
      </c>
      <c r="J8" s="2" t="s">
        <v>36</v>
      </c>
    </row>
    <row r="9" spans="1:10" x14ac:dyDescent="0.2">
      <c r="A9" s="7" t="s">
        <v>37</v>
      </c>
      <c r="B9" s="8" t="s">
        <v>38</v>
      </c>
      <c r="C9" s="8" t="s">
        <v>39</v>
      </c>
      <c r="D9" s="7" t="s">
        <v>13</v>
      </c>
      <c r="E9" s="9">
        <v>1971</v>
      </c>
      <c r="F9" s="9"/>
      <c r="G9" s="9">
        <v>1971</v>
      </c>
      <c r="H9" s="10">
        <f t="shared" si="0"/>
        <v>694</v>
      </c>
      <c r="I9" s="11">
        <f t="shared" si="1"/>
        <v>0.54346123727486295</v>
      </c>
      <c r="J9" s="7" t="s">
        <v>40</v>
      </c>
    </row>
    <row r="10" spans="1:10" x14ac:dyDescent="0.2">
      <c r="A10" s="2" t="s">
        <v>41</v>
      </c>
      <c r="B10" s="3" t="s">
        <v>42</v>
      </c>
      <c r="C10" s="3" t="s">
        <v>43</v>
      </c>
      <c r="D10" s="2" t="s">
        <v>13</v>
      </c>
      <c r="E10" s="4">
        <v>1971</v>
      </c>
      <c r="F10" s="4"/>
      <c r="G10" s="4">
        <v>1971</v>
      </c>
      <c r="H10" s="5">
        <f t="shared" si="0"/>
        <v>0</v>
      </c>
      <c r="I10" s="6">
        <f t="shared" si="1"/>
        <v>0</v>
      </c>
      <c r="J10" s="2" t="s">
        <v>44</v>
      </c>
    </row>
    <row r="11" spans="1:10" x14ac:dyDescent="0.2">
      <c r="A11" s="12" t="s">
        <v>45</v>
      </c>
      <c r="B11" s="13" t="s">
        <v>46</v>
      </c>
      <c r="C11" s="13" t="s">
        <v>47</v>
      </c>
      <c r="D11" s="12" t="s">
        <v>48</v>
      </c>
      <c r="E11" s="14">
        <v>3549</v>
      </c>
      <c r="F11" s="14">
        <v>2500</v>
      </c>
      <c r="G11" s="14">
        <v>2500</v>
      </c>
      <c r="H11" s="15">
        <f t="shared" si="0"/>
        <v>1578</v>
      </c>
      <c r="I11" s="16">
        <f t="shared" si="1"/>
        <v>0.80060882800608824</v>
      </c>
      <c r="J11" s="12" t="s">
        <v>49</v>
      </c>
    </row>
    <row r="12" spans="1:10" x14ac:dyDescent="0.2">
      <c r="A12" s="17" t="s">
        <v>50</v>
      </c>
      <c r="B12" s="18" t="s">
        <v>51</v>
      </c>
      <c r="C12" s="18" t="s">
        <v>52</v>
      </c>
      <c r="D12" s="17" t="s">
        <v>48</v>
      </c>
      <c r="E12" s="19">
        <v>4279</v>
      </c>
      <c r="F12" s="19">
        <v>2500</v>
      </c>
      <c r="G12" s="19">
        <v>2500</v>
      </c>
      <c r="H12" s="20">
        <f t="shared" si="0"/>
        <v>730</v>
      </c>
      <c r="I12" s="21">
        <f t="shared" si="1"/>
        <v>0.20569174415328262</v>
      </c>
      <c r="J12" s="17" t="s">
        <v>53</v>
      </c>
    </row>
    <row r="13" spans="1:10" x14ac:dyDescent="0.2">
      <c r="A13" s="12" t="s">
        <v>54</v>
      </c>
      <c r="B13" s="13" t="s">
        <v>55</v>
      </c>
      <c r="C13" s="13" t="s">
        <v>56</v>
      </c>
      <c r="D13" s="12" t="s">
        <v>48</v>
      </c>
      <c r="E13" s="14">
        <v>3280</v>
      </c>
      <c r="F13" s="14">
        <v>3000</v>
      </c>
      <c r="G13" s="14">
        <v>3000</v>
      </c>
      <c r="H13" s="15">
        <f t="shared" si="0"/>
        <v>-999</v>
      </c>
      <c r="I13" s="16">
        <f t="shared" si="1"/>
        <v>-0.23346576302874503</v>
      </c>
      <c r="J13" s="12" t="s">
        <v>57</v>
      </c>
    </row>
    <row r="14" spans="1:10" x14ac:dyDescent="0.2">
      <c r="A14" s="2" t="s">
        <v>58</v>
      </c>
      <c r="B14" s="3" t="s">
        <v>59</v>
      </c>
      <c r="C14" s="3" t="s">
        <v>60</v>
      </c>
      <c r="D14" s="2" t="s">
        <v>48</v>
      </c>
      <c r="E14" s="4">
        <v>2074</v>
      </c>
      <c r="F14" s="4"/>
      <c r="G14" s="4">
        <v>2074</v>
      </c>
      <c r="H14" s="5">
        <f t="shared" si="0"/>
        <v>-1206</v>
      </c>
      <c r="I14" s="6">
        <f t="shared" si="1"/>
        <v>-0.36768292682926829</v>
      </c>
      <c r="J14" s="2" t="s">
        <v>61</v>
      </c>
    </row>
    <row r="15" spans="1:10" x14ac:dyDescent="0.2">
      <c r="A15" s="7" t="s">
        <v>62</v>
      </c>
      <c r="B15" s="8" t="s">
        <v>63</v>
      </c>
      <c r="C15" s="8" t="s">
        <v>64</v>
      </c>
      <c r="D15" s="7" t="s">
        <v>48</v>
      </c>
      <c r="E15" s="9">
        <v>1923</v>
      </c>
      <c r="F15" s="9"/>
      <c r="G15" s="9">
        <v>1923</v>
      </c>
      <c r="H15" s="10">
        <f t="shared" si="0"/>
        <v>-151</v>
      </c>
      <c r="I15" s="11">
        <f t="shared" si="1"/>
        <v>-7.2806171648987464E-2</v>
      </c>
      <c r="J15" s="7" t="s">
        <v>65</v>
      </c>
    </row>
    <row r="16" spans="1:10" x14ac:dyDescent="0.2">
      <c r="A16" s="2" t="s">
        <v>66</v>
      </c>
      <c r="B16" s="3" t="s">
        <v>67</v>
      </c>
      <c r="C16" s="3" t="s">
        <v>68</v>
      </c>
      <c r="D16" s="2" t="s">
        <v>48</v>
      </c>
      <c r="E16" s="4">
        <v>1928</v>
      </c>
      <c r="F16" s="4"/>
      <c r="G16" s="4">
        <v>1928</v>
      </c>
      <c r="H16" s="5">
        <f t="shared" si="0"/>
        <v>5</v>
      </c>
      <c r="I16" s="6">
        <f t="shared" si="1"/>
        <v>2.6001040041601664E-3</v>
      </c>
      <c r="J16" s="2" t="s">
        <v>69</v>
      </c>
    </row>
    <row r="17" spans="1:10" x14ac:dyDescent="0.2">
      <c r="A17" s="7" t="s">
        <v>70</v>
      </c>
      <c r="B17" s="8" t="s">
        <v>71</v>
      </c>
      <c r="C17" s="8" t="s">
        <v>72</v>
      </c>
      <c r="D17" s="7" t="s">
        <v>48</v>
      </c>
      <c r="E17" s="9">
        <v>1690</v>
      </c>
      <c r="F17" s="9"/>
      <c r="G17" s="9">
        <v>1690</v>
      </c>
      <c r="H17" s="10">
        <f t="shared" si="0"/>
        <v>-238</v>
      </c>
      <c r="I17" s="11">
        <f t="shared" si="1"/>
        <v>-0.12344398340248963</v>
      </c>
      <c r="J17" s="7" t="s">
        <v>73</v>
      </c>
    </row>
    <row r="18" spans="1:10" x14ac:dyDescent="0.2">
      <c r="A18" s="2" t="s">
        <v>74</v>
      </c>
      <c r="B18" s="3" t="s">
        <v>75</v>
      </c>
      <c r="C18" s="3" t="s">
        <v>76</v>
      </c>
      <c r="D18" s="2" t="s">
        <v>48</v>
      </c>
      <c r="E18" s="4">
        <v>1568</v>
      </c>
      <c r="F18" s="4"/>
      <c r="G18" s="4">
        <v>1568</v>
      </c>
      <c r="H18" s="5">
        <f t="shared" si="0"/>
        <v>-122</v>
      </c>
      <c r="I18" s="6">
        <f t="shared" si="1"/>
        <v>-7.2189349112426041E-2</v>
      </c>
      <c r="J18" s="2" t="s">
        <v>65</v>
      </c>
    </row>
    <row r="19" spans="1:10" x14ac:dyDescent="0.2">
      <c r="A19" s="7" t="s">
        <v>77</v>
      </c>
      <c r="B19" s="8" t="s">
        <v>78</v>
      </c>
      <c r="C19" s="8" t="s">
        <v>79</v>
      </c>
      <c r="D19" s="7" t="s">
        <v>48</v>
      </c>
      <c r="E19" s="9">
        <v>1717</v>
      </c>
      <c r="F19" s="9"/>
      <c r="G19" s="9">
        <v>1717</v>
      </c>
      <c r="H19" s="10">
        <f t="shared" si="0"/>
        <v>149</v>
      </c>
      <c r="I19" s="11">
        <f t="shared" si="1"/>
        <v>9.5025510204081634E-2</v>
      </c>
      <c r="J19" s="7" t="s">
        <v>80</v>
      </c>
    </row>
    <row r="20" spans="1:10" x14ac:dyDescent="0.2">
      <c r="A20" s="2" t="s">
        <v>81</v>
      </c>
      <c r="B20" s="3" t="s">
        <v>82</v>
      </c>
      <c r="C20" s="3" t="s">
        <v>83</v>
      </c>
      <c r="D20" s="2" t="s">
        <v>48</v>
      </c>
      <c r="E20" s="4">
        <v>1738</v>
      </c>
      <c r="F20" s="4"/>
      <c r="G20" s="4">
        <v>1738</v>
      </c>
      <c r="H20" s="5">
        <f t="shared" si="0"/>
        <v>21</v>
      </c>
      <c r="I20" s="6">
        <f t="shared" si="1"/>
        <v>1.2230634828188701E-2</v>
      </c>
      <c r="J20" s="2" t="s">
        <v>84</v>
      </c>
    </row>
    <row r="21" spans="1:10" x14ac:dyDescent="0.2">
      <c r="A21" s="7" t="s">
        <v>85</v>
      </c>
      <c r="B21" s="8" t="s">
        <v>86</v>
      </c>
      <c r="C21" s="8" t="s">
        <v>87</v>
      </c>
      <c r="D21" s="7" t="s">
        <v>48</v>
      </c>
      <c r="E21" s="9">
        <v>1849</v>
      </c>
      <c r="F21" s="9"/>
      <c r="G21" s="9">
        <v>1849</v>
      </c>
      <c r="H21" s="10">
        <f t="shared" si="0"/>
        <v>111</v>
      </c>
      <c r="I21" s="11">
        <f t="shared" si="1"/>
        <v>6.3866513233601846E-2</v>
      </c>
      <c r="J21" s="7" t="s">
        <v>88</v>
      </c>
    </row>
    <row r="22" spans="1:10" x14ac:dyDescent="0.2">
      <c r="A22" s="2" t="s">
        <v>89</v>
      </c>
      <c r="B22" s="3" t="s">
        <v>90</v>
      </c>
      <c r="C22" s="3" t="s">
        <v>91</v>
      </c>
      <c r="D22" s="2" t="s">
        <v>48</v>
      </c>
      <c r="E22" s="4">
        <v>1720</v>
      </c>
      <c r="F22" s="4"/>
      <c r="G22" s="4">
        <v>1720</v>
      </c>
      <c r="H22" s="5">
        <f t="shared" si="0"/>
        <v>-129</v>
      </c>
      <c r="I22" s="6">
        <f t="shared" si="1"/>
        <v>-6.9767441860465115E-2</v>
      </c>
      <c r="J22" s="2" t="s">
        <v>65</v>
      </c>
    </row>
    <row r="23" spans="1:10" x14ac:dyDescent="0.2">
      <c r="A23" s="7" t="s">
        <v>92</v>
      </c>
      <c r="B23" s="8" t="s">
        <v>93</v>
      </c>
      <c r="C23" s="8" t="s">
        <v>94</v>
      </c>
      <c r="D23" s="7" t="s">
        <v>48</v>
      </c>
      <c r="E23" s="9">
        <v>1755</v>
      </c>
      <c r="F23" s="9"/>
      <c r="G23" s="9">
        <v>1755</v>
      </c>
      <c r="H23" s="10">
        <f t="shared" si="0"/>
        <v>35</v>
      </c>
      <c r="I23" s="11">
        <f t="shared" si="1"/>
        <v>2.0348837209302327E-2</v>
      </c>
      <c r="J23" s="7" t="s">
        <v>95</v>
      </c>
    </row>
    <row r="24" spans="1:10" x14ac:dyDescent="0.2">
      <c r="A24" s="2" t="s">
        <v>96</v>
      </c>
      <c r="B24" s="3" t="s">
        <v>97</v>
      </c>
      <c r="C24" s="3" t="s">
        <v>98</v>
      </c>
      <c r="D24" s="2" t="s">
        <v>48</v>
      </c>
      <c r="E24" s="4">
        <v>1758</v>
      </c>
      <c r="F24" s="4"/>
      <c r="G24" s="4">
        <v>1758</v>
      </c>
      <c r="H24" s="5">
        <f t="shared" si="0"/>
        <v>3</v>
      </c>
      <c r="I24" s="6">
        <f t="shared" si="1"/>
        <v>1.7094017094017094E-3</v>
      </c>
      <c r="J24" s="2" t="s">
        <v>99</v>
      </c>
    </row>
    <row r="25" spans="1:10" x14ac:dyDescent="0.2">
      <c r="A25" s="7" t="s">
        <v>100</v>
      </c>
      <c r="B25" s="8" t="s">
        <v>101</v>
      </c>
      <c r="C25" s="8" t="s">
        <v>102</v>
      </c>
      <c r="D25" s="7" t="s">
        <v>48</v>
      </c>
      <c r="E25" s="9">
        <v>1641</v>
      </c>
      <c r="F25" s="9"/>
      <c r="G25" s="9">
        <v>1641</v>
      </c>
      <c r="H25" s="10">
        <f t="shared" si="0"/>
        <v>-117</v>
      </c>
      <c r="I25" s="11">
        <f t="shared" si="1"/>
        <v>-6.655290102389079E-2</v>
      </c>
      <c r="J25" s="7" t="s">
        <v>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cols>
    <col min="1" max="1" width="28" customWidth="1"/>
    <col min="2" max="2" width="18" customWidth="1"/>
    <col min="3" max="3" width="55" customWidth="1"/>
  </cols>
  <sheetData>
    <row r="1" spans="1:3" x14ac:dyDescent="0.2">
      <c r="A1" s="22" t="s">
        <v>104</v>
      </c>
      <c r="B1" s="22" t="s">
        <v>105</v>
      </c>
      <c r="C1" s="22" t="s">
        <v>106</v>
      </c>
    </row>
    <row r="2" spans="1:3" x14ac:dyDescent="0.2">
      <c r="A2" s="2" t="s">
        <v>107</v>
      </c>
      <c r="B2" s="4">
        <v>1053</v>
      </c>
      <c r="C2" s="2" t="s">
        <v>108</v>
      </c>
    </row>
    <row r="3" spans="1:3" x14ac:dyDescent="0.2">
      <c r="A3" s="7" t="s">
        <v>109</v>
      </c>
      <c r="B3" s="9">
        <v>1042</v>
      </c>
      <c r="C3" s="7" t="s">
        <v>110</v>
      </c>
    </row>
    <row r="4" spans="1:3" x14ac:dyDescent="0.2">
      <c r="A4" s="2" t="s">
        <v>111</v>
      </c>
      <c r="B4" s="4">
        <v>1277</v>
      </c>
      <c r="C4" s="2" t="s">
        <v>112</v>
      </c>
    </row>
    <row r="5" spans="1:3" x14ac:dyDescent="0.2">
      <c r="A5" s="7" t="s">
        <v>113</v>
      </c>
      <c r="B5" s="9">
        <v>1971</v>
      </c>
      <c r="C5" s="7" t="s">
        <v>114</v>
      </c>
    </row>
    <row r="6" spans="1:3" x14ac:dyDescent="0.2">
      <c r="A6" s="2" t="s">
        <v>115</v>
      </c>
      <c r="B6" s="4">
        <v>2500</v>
      </c>
      <c r="C6" s="2" t="s">
        <v>116</v>
      </c>
    </row>
    <row r="7" spans="1:3" x14ac:dyDescent="0.2">
      <c r="A7" s="7" t="s">
        <v>117</v>
      </c>
      <c r="B7" s="9">
        <v>3000</v>
      </c>
      <c r="C7" s="7" t="s">
        <v>118</v>
      </c>
    </row>
    <row r="8" spans="1:3" x14ac:dyDescent="0.2">
      <c r="A8" s="2" t="s">
        <v>119</v>
      </c>
      <c r="B8" s="4">
        <v>4279</v>
      </c>
      <c r="C8" s="2" t="s">
        <v>120</v>
      </c>
    </row>
    <row r="9" spans="1:3" x14ac:dyDescent="0.2">
      <c r="A9" s="7" t="s">
        <v>121</v>
      </c>
      <c r="B9" s="9">
        <v>1641</v>
      </c>
      <c r="C9" s="7" t="s">
        <v>122</v>
      </c>
    </row>
    <row r="10" spans="1:3" x14ac:dyDescent="0.2">
      <c r="A10" s="2" t="s">
        <v>123</v>
      </c>
      <c r="B10" s="2"/>
      <c r="C1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baseColWidth="10" defaultColWidth="8.83203125" defaultRowHeight="15" x14ac:dyDescent="0.2"/>
  <cols>
    <col min="1" max="1" width="32" customWidth="1"/>
    <col min="2" max="2" width="42" customWidth="1"/>
    <col min="3" max="3" width="80" customWidth="1"/>
  </cols>
  <sheetData>
    <row r="1" spans="1:3" ht="20" customHeight="1" x14ac:dyDescent="0.2">
      <c r="A1" s="23" t="s">
        <v>124</v>
      </c>
      <c r="B1" s="23" t="s">
        <v>125</v>
      </c>
      <c r="C1" s="23" t="s">
        <v>126</v>
      </c>
    </row>
    <row r="2" spans="1:3" x14ac:dyDescent="0.2">
      <c r="A2" s="24" t="s">
        <v>127</v>
      </c>
      <c r="B2" s="24"/>
      <c r="C2" s="24"/>
    </row>
    <row r="3" spans="1:3" ht="29" x14ac:dyDescent="0.2">
      <c r="A3" s="25" t="s">
        <v>128</v>
      </c>
      <c r="B3" s="25" t="s">
        <v>129</v>
      </c>
      <c r="C3" s="25" t="s">
        <v>130</v>
      </c>
    </row>
    <row r="4" spans="1:3" x14ac:dyDescent="0.2">
      <c r="A4" s="25"/>
      <c r="B4" s="25"/>
      <c r="C4" s="25"/>
    </row>
    <row r="5" spans="1:3" x14ac:dyDescent="0.2">
      <c r="A5" s="24" t="s">
        <v>131</v>
      </c>
      <c r="B5" s="24"/>
      <c r="C5" s="24"/>
    </row>
    <row r="6" spans="1:3" ht="29" x14ac:dyDescent="0.2">
      <c r="A6" s="25" t="s">
        <v>132</v>
      </c>
      <c r="B6" s="25" t="s">
        <v>133</v>
      </c>
      <c r="C6" s="25" t="s">
        <v>134</v>
      </c>
    </row>
    <row r="7" spans="1:3" ht="29" x14ac:dyDescent="0.2">
      <c r="A7" s="25" t="s">
        <v>135</v>
      </c>
      <c r="B7" s="25" t="s">
        <v>136</v>
      </c>
      <c r="C7" s="25" t="s">
        <v>137</v>
      </c>
    </row>
    <row r="8" spans="1:3" ht="29" x14ac:dyDescent="0.2">
      <c r="A8" s="25" t="s">
        <v>138</v>
      </c>
      <c r="B8" s="25" t="s">
        <v>139</v>
      </c>
      <c r="C8" s="25" t="s">
        <v>140</v>
      </c>
    </row>
    <row r="9" spans="1:3" x14ac:dyDescent="0.2">
      <c r="A9" s="25" t="s">
        <v>141</v>
      </c>
      <c r="B9" s="25" t="s">
        <v>142</v>
      </c>
      <c r="C9" s="25" t="s">
        <v>143</v>
      </c>
    </row>
    <row r="10" spans="1:3" x14ac:dyDescent="0.2">
      <c r="A10" s="25"/>
      <c r="B10" s="25"/>
      <c r="C10" s="25"/>
    </row>
    <row r="11" spans="1:3" x14ac:dyDescent="0.2">
      <c r="A11" s="24" t="s">
        <v>144</v>
      </c>
      <c r="B11" s="24"/>
      <c r="C11" s="24"/>
    </row>
    <row r="12" spans="1:3" x14ac:dyDescent="0.2">
      <c r="A12" s="25" t="s">
        <v>145</v>
      </c>
      <c r="B12" s="25" t="s">
        <v>146</v>
      </c>
      <c r="C12" s="25" t="s">
        <v>147</v>
      </c>
    </row>
    <row r="13" spans="1:3" x14ac:dyDescent="0.2">
      <c r="A13" s="25" t="s">
        <v>148</v>
      </c>
      <c r="B13" s="25" t="s">
        <v>149</v>
      </c>
      <c r="C13" s="25" t="s">
        <v>150</v>
      </c>
    </row>
    <row r="14" spans="1:3" x14ac:dyDescent="0.2">
      <c r="A14" s="25" t="s">
        <v>151</v>
      </c>
      <c r="B14" s="25" t="s">
        <v>152</v>
      </c>
      <c r="C14" s="25" t="s">
        <v>153</v>
      </c>
    </row>
    <row r="15" spans="1:3" ht="29" x14ac:dyDescent="0.2">
      <c r="A15" s="25" t="s">
        <v>154</v>
      </c>
      <c r="B15" s="25" t="s">
        <v>155</v>
      </c>
      <c r="C15" s="25"/>
    </row>
    <row r="16" spans="1:3" ht="29" x14ac:dyDescent="0.2">
      <c r="A16" s="24" t="s">
        <v>156</v>
      </c>
      <c r="B16" s="24" t="s">
        <v>157</v>
      </c>
      <c r="C16" s="24" t="s">
        <v>158</v>
      </c>
    </row>
    <row r="17" spans="1:3" ht="29" x14ac:dyDescent="0.2">
      <c r="A17" s="25" t="s">
        <v>159</v>
      </c>
      <c r="B17" s="25" t="s">
        <v>160</v>
      </c>
      <c r="C17" s="25" t="s">
        <v>161</v>
      </c>
    </row>
    <row r="18" spans="1:3" x14ac:dyDescent="0.2">
      <c r="A18" s="25"/>
      <c r="B18" s="25"/>
      <c r="C18" s="25"/>
    </row>
    <row r="19" spans="1:3" x14ac:dyDescent="0.2">
      <c r="A19" s="25" t="s">
        <v>162</v>
      </c>
      <c r="B19" s="25"/>
      <c r="C19" s="25"/>
    </row>
    <row r="20" spans="1:3" ht="29" x14ac:dyDescent="0.2">
      <c r="A20" s="25" t="s">
        <v>163</v>
      </c>
      <c r="B20" s="25" t="s">
        <v>164</v>
      </c>
      <c r="C20" s="25"/>
    </row>
    <row r="21" spans="1:3" ht="29" x14ac:dyDescent="0.2">
      <c r="A21" s="25" t="s">
        <v>165</v>
      </c>
      <c r="B21" s="25" t="s">
        <v>166</v>
      </c>
      <c r="C21" s="25"/>
    </row>
    <row r="22" spans="1:3" x14ac:dyDescent="0.2">
      <c r="A22" s="25" t="s">
        <v>167</v>
      </c>
      <c r="B22" s="25" t="s">
        <v>168</v>
      </c>
      <c r="C22" s="2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Quarterly Price Cap Data</vt:lpstr>
      <vt:lpstr>Key Benchmarks</vt:lpstr>
      <vt:lpstr>Sources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Matthew MacKinnon</cp:lastModifiedBy>
  <dcterms:created xsi:type="dcterms:W3CDTF">2026-04-27T00:05:23Z</dcterms:created>
  <dcterms:modified xsi:type="dcterms:W3CDTF">2026-04-27T22:45:03Z</dcterms:modified>
</cp:coreProperties>
</file>